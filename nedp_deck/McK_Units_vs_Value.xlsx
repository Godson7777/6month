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s vs Val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x&quot;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6B6B6B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9" fontId="0" fillId="0" borderId="0" pivotButton="0" quotePrefix="0" xfId="0"/>
    <xf numFmtId="0" fontId="4" fillId="0" borderId="0" pivotButton="0" quotePrefix="0" xfId="0"/>
    <xf numFmtId="3" fontId="4" fillId="0" borderId="0" pivotButton="0" quotePrefix="0" xfId="0"/>
    <xf numFmtId="9" fontId="4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Heavy cranes are 10% of units but 28% of value</a:t>
            </a:r>
          </a:p>
        </rich>
      </tx>
    </title>
    <plotArea>
      <barChart>
        <barDir val="col"/>
        <grouping val="percentStacked"/>
        <ser>
          <idx val="0"/>
          <order val="0"/>
          <tx>
            <strRef>
              <f>'Units vs Value'!I4</f>
            </strRef>
          </tx>
          <spPr>
            <a:solidFill xmlns:a="http://schemas.openxmlformats.org/drawingml/2006/main">
              <a:srgbClr val="D9D9D9"/>
            </a:solidFill>
            <a:ln xmlns:a="http://schemas.openxmlformats.org/drawingml/2006/main">
              <a:solidFill>
                <a:srgbClr val="FFFFFF"/>
              </a:solidFill>
              <a:prstDash val="solid"/>
            </a:ln>
          </spPr>
          <dLbls>
            <numFmt formatCode="0%"/>
            <showVal val="1"/>
          </dLbls>
          <cat>
            <numRef>
              <f>'Units vs Value'!$H$5:$H$6</f>
            </numRef>
          </cat>
          <val>
            <numRef>
              <f>'Units vs Value'!$I$5:$I$6</f>
            </numRef>
          </val>
        </ser>
        <ser>
          <idx val="1"/>
          <order val="1"/>
          <tx>
            <strRef>
              <f>'Units vs Value'!J4</f>
            </strRef>
          </tx>
          <spPr>
            <a:solidFill xmlns:a="http://schemas.openxmlformats.org/drawingml/2006/main">
              <a:srgbClr val="BFBFBF"/>
            </a:solidFill>
            <a:ln xmlns:a="http://schemas.openxmlformats.org/drawingml/2006/main">
              <a:solidFill>
                <a:srgbClr val="FFFFFF"/>
              </a:solidFill>
              <a:prstDash val="solid"/>
            </a:ln>
          </spPr>
          <dLbls>
            <numFmt formatCode="0%"/>
            <showVal val="1"/>
          </dLbls>
          <cat>
            <numRef>
              <f>'Units vs Value'!$H$5:$H$6</f>
            </numRef>
          </cat>
          <val>
            <numRef>
              <f>'Units vs Value'!$J$5:$J$6</f>
            </numRef>
          </val>
        </ser>
        <ser>
          <idx val="2"/>
          <order val="2"/>
          <tx>
            <strRef>
              <f>'Units vs Value'!K4</f>
            </strRef>
          </tx>
          <spPr>
            <a:solidFill xmlns:a="http://schemas.openxmlformats.org/drawingml/2006/main">
              <a:srgbClr val="595959"/>
            </a:solidFill>
            <a:ln xmlns:a="http://schemas.openxmlformats.org/drawingml/2006/main">
              <a:solidFill>
                <a:srgbClr val="FFFFFF"/>
              </a:solidFill>
              <a:prstDash val="solid"/>
            </a:ln>
          </spPr>
          <dLbls>
            <numFmt formatCode="0%"/>
            <showVal val="1"/>
          </dLbls>
          <cat>
            <numRef>
              <f>'Units vs Value'!$H$5:$H$6</f>
            </numRef>
          </cat>
          <val>
            <numRef>
              <f>'Units vs Value'!$K$5:$K$6</f>
            </numRef>
          </val>
        </ser>
        <ser>
          <idx val="3"/>
          <order val="3"/>
          <tx>
            <strRef>
              <f>'Units vs Value'!L4</f>
            </strRef>
          </tx>
          <spPr>
            <a:solidFill xmlns:a="http://schemas.openxmlformats.org/drawingml/2006/main">
              <a:srgbClr val="000000"/>
            </a:solidFill>
            <a:ln xmlns:a="http://schemas.openxmlformats.org/drawingml/2006/main">
              <a:solidFill>
                <a:srgbClr val="FFFFFF"/>
              </a:solidFill>
              <a:prstDash val="solid"/>
            </a:ln>
          </spPr>
          <dLbls>
            <numFmt formatCode="0%"/>
            <showVal val="1"/>
          </dLbls>
          <cat>
            <numRef>
              <f>'Units vs Value'!$H$5:$H$6</f>
            </numRef>
          </cat>
          <val>
            <numRef>
              <f>'Units vs Value'!$L$5:$L$6</f>
            </numRef>
          </val>
        </ser>
        <gapWidth val="6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8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20" customWidth="1" min="3" max="3"/>
    <col width="10" customWidth="1" min="4" max="4"/>
    <col width="10" customWidth="1" min="5" max="5"/>
    <col width="22" customWidth="1" min="6" max="6"/>
  </cols>
  <sheetData>
    <row r="1">
      <c r="A1" s="1" t="inlineStr">
        <is>
          <t>Heavy cranes are 10% of units but 28% of value</t>
        </is>
      </c>
    </row>
    <row r="2">
      <c r="A2" s="2" t="inlineStr">
        <is>
          <t>Indonesia knuckle boom crane imports, Jan 2023 – 14 Aug 2026</t>
        </is>
      </c>
    </row>
    <row r="4">
      <c r="A4" s="3" t="inlineStr">
        <is>
          <t>Class</t>
        </is>
      </c>
      <c r="B4" s="3" t="inlineStr">
        <is>
          <t>Units</t>
        </is>
      </c>
      <c r="C4" s="3" t="inlineStr">
        <is>
          <t>Value (IDR)</t>
        </is>
      </c>
      <c r="D4" s="3" t="inlineStr">
        <is>
          <t>Units %</t>
        </is>
      </c>
      <c r="E4" s="3" t="inlineStr">
        <is>
          <t>Value %</t>
        </is>
      </c>
      <c r="F4" s="3" t="inlineStr">
        <is>
          <t>Value per unit (IDR)</t>
        </is>
      </c>
      <c r="H4" t="inlineStr"/>
      <c r="I4">
        <f>A5</f>
        <v/>
      </c>
      <c r="J4">
        <f>A6</f>
        <v/>
      </c>
      <c r="K4">
        <f>A7</f>
        <v/>
      </c>
      <c r="L4">
        <f>A8</f>
        <v/>
      </c>
    </row>
    <row r="5">
      <c r="A5" t="inlineStr">
        <is>
          <t>Light (≤ 8 tm)</t>
        </is>
      </c>
      <c r="B5" s="4" t="n">
        <v>177</v>
      </c>
      <c r="C5" s="4" t="n">
        <v>40118000000</v>
      </c>
      <c r="D5" s="5">
        <f>B5/$B$9</f>
        <v/>
      </c>
      <c r="E5" s="5">
        <f>C5/$C$9</f>
        <v/>
      </c>
      <c r="F5" s="4">
        <f>C5/B5</f>
        <v/>
      </c>
      <c r="H5" t="inlineStr">
        <is>
          <t>Units</t>
        </is>
      </c>
      <c r="I5" s="5">
        <f>D5</f>
        <v/>
      </c>
      <c r="J5" s="5">
        <f>D6</f>
        <v/>
      </c>
      <c r="K5" s="5">
        <f>D7</f>
        <v/>
      </c>
      <c r="L5" s="5">
        <f>D8</f>
        <v/>
      </c>
    </row>
    <row r="6">
      <c r="A6" t="inlineStr">
        <is>
          <t>Small (8–25 tm)</t>
        </is>
      </c>
      <c r="B6" s="4" t="n">
        <v>200</v>
      </c>
      <c r="C6" s="4" t="n">
        <v>77241000000</v>
      </c>
      <c r="D6" s="5">
        <f>B6/$B$9</f>
        <v/>
      </c>
      <c r="E6" s="5">
        <f>C6/$C$9</f>
        <v/>
      </c>
      <c r="F6" s="4">
        <f>C6/B6</f>
        <v/>
      </c>
      <c r="H6" t="inlineStr">
        <is>
          <t>Value</t>
        </is>
      </c>
      <c r="I6" s="5">
        <f>E5</f>
        <v/>
      </c>
      <c r="J6" s="5">
        <f>E6</f>
        <v/>
      </c>
      <c r="K6" s="5">
        <f>E7</f>
        <v/>
      </c>
      <c r="L6" s="5">
        <f>E8</f>
        <v/>
      </c>
    </row>
    <row r="7">
      <c r="A7" t="inlineStr">
        <is>
          <t>Medium (25–45 tm)</t>
        </is>
      </c>
      <c r="B7" s="4" t="n">
        <v>196</v>
      </c>
      <c r="C7" s="4" t="n">
        <v>118328000000</v>
      </c>
      <c r="D7" s="5">
        <f>B7/$B$9</f>
        <v/>
      </c>
      <c r="E7" s="5">
        <f>C7/$C$9</f>
        <v/>
      </c>
      <c r="F7" s="4">
        <f>C7/B7</f>
        <v/>
      </c>
    </row>
    <row r="8">
      <c r="A8" t="inlineStr">
        <is>
          <t>Heavy (&gt; 45 tm)</t>
        </is>
      </c>
      <c r="B8" s="4" t="n">
        <v>65</v>
      </c>
      <c r="C8" s="4" t="n">
        <v>91154000000</v>
      </c>
      <c r="D8" s="5">
        <f>B8/$B$9</f>
        <v/>
      </c>
      <c r="E8" s="5">
        <f>C8/$C$9</f>
        <v/>
      </c>
      <c r="F8" s="4">
        <f>C8/B8</f>
        <v/>
      </c>
    </row>
    <row r="9">
      <c r="A9" s="6" t="inlineStr">
        <is>
          <t>Total</t>
        </is>
      </c>
      <c r="B9" s="7">
        <f>SUM(B5:B8)</f>
        <v/>
      </c>
      <c r="C9" s="7">
        <f>SUM(C5:C8)</f>
        <v/>
      </c>
      <c r="D9" s="8">
        <f>SUM(D5:D8)</f>
        <v/>
      </c>
      <c r="E9" s="8">
        <f>SUM(E5:E8)</f>
        <v/>
      </c>
      <c r="F9" s="7">
        <f>C9/B9</f>
        <v/>
      </c>
    </row>
    <row r="11">
      <c r="A11" s="6" t="inlineStr">
        <is>
          <t>Medium + Heavy</t>
        </is>
      </c>
      <c r="B11" s="4">
        <f>B7+B8</f>
        <v/>
      </c>
      <c r="C11" s="4">
        <f>C7+C8</f>
        <v/>
      </c>
      <c r="D11" s="5">
        <f>D7+D8</f>
        <v/>
      </c>
      <c r="E11" s="5">
        <f>E7+E8</f>
        <v/>
      </c>
    </row>
    <row r="12">
      <c r="A12" t="inlineStr">
        <is>
          <t>Heavy value per unit vs Light</t>
        </is>
      </c>
      <c r="F12" s="9">
        <f>F8/F5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2026-10-17T17:34:46Z</dcterms:created>
  <dcterms:modified xmlns:dcterms="http://purl.org/dc/terms/" xmlns:xsi="http://www.w3.org/2001/XMLSchema-instance" xsi:type="dcterms:W3CDTF">2026-10-17T17:34:46Z</dcterms:modified>
</cp:coreProperties>
</file>